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 activeTab="1"/>
  </bookViews>
  <sheets>
    <sheet name="Sheet2" sheetId="2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<sst xmlns="http://schemas.openxmlformats.org/spreadsheetml/2006/main" count="34" uniqueCount="14">
  <si>
    <t>YEAR</t>
  </si>
  <si>
    <t xml:space="preserve"> NET X/GDP</t>
  </si>
  <si>
    <t>TRADE OPENESS/GDP</t>
  </si>
  <si>
    <t>CUSTOM/GDP</t>
  </si>
  <si>
    <t>GDP(%)</t>
  </si>
  <si>
    <t>GDP</t>
  </si>
  <si>
    <t>NET X /GDP</t>
  </si>
  <si>
    <t xml:space="preserve">change in  percentage </t>
  </si>
  <si>
    <t>−8.56</t>
  </si>
  <si>
    <t xml:space="preserve">−6.53 </t>
  </si>
  <si>
    <t>−10.13</t>
  </si>
  <si>
    <t>−10.08</t>
  </si>
  <si>
    <t>−5.38</t>
  </si>
  <si>
    <t>−5.96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</si>
</sst>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rgb="FF000000"/>
      <name val="Calibri"/>
      <charset val="134"/>
    </font>
    <font>
      <sz val="11"/>
      <color rgb="FF000000"/>
      <name val="Aptos Narrow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/>
    <xf numFmtId="10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horizontal="right"/>
    </xf>
    <xf numFmtId="0" fontId="1" fillId="0" borderId="0" xfId="0" applyNumberFormat="1" applyFont="1" applyAlignment="1">
      <alignment horizontal="right"/>
    </xf>
    <xf numFmtId="0" fontId="2" fillId="0" borderId="0" xfId="0" applyNumberFormat="1" applyFont="1" applyBorder="1" applyAlignment="1"/>
    <xf numFmtId="0" fontId="3" fillId="0" borderId="0" xfId="0" applyNumberFormat="1" applyFont="1" applyBorder="1" applyAlignment="1"/>
    <xf numFmtId="0" fontId="3" fillId="0" borderId="0" xfId="0" applyFont="1" applyBorder="1" applyAlignment="1"/>
    <xf numFmtId="0" fontId="2" fillId="0" borderId="0" xfId="0" applyFont="1" applyBorder="1" applyAlignment="1"/>
    <xf numFmtId="9" fontId="0" fillId="0" borderId="0" xfId="0" applyNumberFormat="1"/>
    <xf numFmtId="0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2"/>
  <sheetViews>
    <sheetView topLeftCell="A20" workbookViewId="0">
      <selection activeCell="G1" sqref="G1:K31"/>
    </sheetView>
  </sheetViews>
  <sheetFormatPr defaultColWidth="9" defaultRowHeight="14.25"/>
  <cols>
    <col min="2" max="2" width="10.7083333333333" customWidth="1"/>
    <col min="3" max="3" width="19.8583333333333" customWidth="1"/>
    <col min="4" max="4" width="13.1416666666667" customWidth="1"/>
    <col min="5" max="5" width="12.5666666666667" customWidth="1"/>
    <col min="9" max="9" width="13.1416666666667" customWidth="1"/>
    <col min="10" max="10" width="19.8583333333333" customWidth="1"/>
    <col min="11" max="11" width="10.7083333333333" customWidth="1"/>
    <col min="12" max="12" width="19.8583333333333" customWidth="1"/>
  </cols>
  <sheetData>
    <row r="1" spans="1:11">
      <c r="A1" t="s">
        <v>0</v>
      </c>
      <c r="B1" s="2" t="s">
        <v>1</v>
      </c>
      <c r="C1" t="s">
        <v>2</v>
      </c>
      <c r="D1" s="7" t="s">
        <v>3</v>
      </c>
      <c r="E1" t="s">
        <v>4</v>
      </c>
      <c r="G1" t="s">
        <v>0</v>
      </c>
      <c r="H1" t="s">
        <v>5</v>
      </c>
      <c r="I1" t="s">
        <v>3</v>
      </c>
      <c r="J1" t="s">
        <v>2</v>
      </c>
      <c r="K1" t="s">
        <v>6</v>
      </c>
    </row>
    <row r="2" ht="15" spans="1:14">
      <c r="A2">
        <v>2004</v>
      </c>
      <c r="B2" s="1">
        <v>-0.06256</v>
      </c>
      <c r="C2" s="8">
        <v>59.47700335</v>
      </c>
      <c r="D2" s="7">
        <v>1.662148207</v>
      </c>
      <c r="E2" s="8">
        <v>5.104299776</v>
      </c>
      <c r="G2">
        <v>1995</v>
      </c>
      <c r="H2" s="1">
        <v>0.0440621652482287</v>
      </c>
      <c r="I2" s="2">
        <v>3.7</v>
      </c>
      <c r="J2" s="2">
        <v>71.7457416403034</v>
      </c>
      <c r="K2" s="2">
        <v>-6.56</v>
      </c>
      <c r="L2" s="9" t="s">
        <v>7</v>
      </c>
      <c r="N2" s="2">
        <v>-6.56</v>
      </c>
    </row>
    <row r="3" ht="15" spans="1:14">
      <c r="A3">
        <v>2005</v>
      </c>
      <c r="B3" s="1">
        <v>-0.07461</v>
      </c>
      <c r="C3" s="8">
        <v>64.47886616</v>
      </c>
      <c r="D3" s="7">
        <v>1.440285968</v>
      </c>
      <c r="E3" s="8">
        <v>5.104299776</v>
      </c>
      <c r="G3">
        <v>1996</v>
      </c>
      <c r="H3" s="1">
        <v>0.0414683926876013</v>
      </c>
      <c r="I3" s="2">
        <v>3.4</v>
      </c>
      <c r="J3" s="2">
        <v>57.3121107038101</v>
      </c>
      <c r="K3" s="2">
        <v>-6.91</v>
      </c>
      <c r="L3" s="9">
        <v>0.01</v>
      </c>
      <c r="M3" s="2">
        <v>4.40621652482287</v>
      </c>
      <c r="N3" s="2">
        <v>-6.91</v>
      </c>
    </row>
    <row r="4" ht="15" spans="1:14">
      <c r="A4">
        <v>2006</v>
      </c>
      <c r="B4" s="1">
        <v>-0.09267</v>
      </c>
      <c r="C4" s="8">
        <v>55.23648513</v>
      </c>
      <c r="D4" s="7">
        <v>1.428364965</v>
      </c>
      <c r="E4" s="8">
        <v>6.4724943</v>
      </c>
      <c r="G4">
        <v>1997</v>
      </c>
      <c r="H4" s="1">
        <v>0.0440621652482287</v>
      </c>
      <c r="I4" s="2">
        <v>2.4</v>
      </c>
      <c r="J4" s="2">
        <v>54.0571168602892</v>
      </c>
      <c r="K4" s="2">
        <v>-8.68</v>
      </c>
      <c r="M4" s="2">
        <v>4.14683926876013</v>
      </c>
      <c r="N4" s="2">
        <v>-8.68</v>
      </c>
    </row>
    <row r="5" ht="15" spans="1:14">
      <c r="A5">
        <v>2007</v>
      </c>
      <c r="B5" s="1">
        <v>-0.06256</v>
      </c>
      <c r="C5" s="8">
        <v>53.8947888</v>
      </c>
      <c r="D5" s="7">
        <v>0.960674356</v>
      </c>
      <c r="E5" s="8">
        <v>6.85072977</v>
      </c>
      <c r="G5">
        <v>1998</v>
      </c>
      <c r="H5" s="1">
        <v>0.0414683926876013</v>
      </c>
      <c r="I5" s="2">
        <v>1.8</v>
      </c>
      <c r="J5" s="2">
        <v>48.8972419400753</v>
      </c>
      <c r="K5" s="2" t="s">
        <v>8</v>
      </c>
      <c r="M5" s="2">
        <v>0.474901921293579</v>
      </c>
      <c r="N5" s="2" t="s">
        <v>8</v>
      </c>
    </row>
    <row r="6" ht="15" spans="1:14">
      <c r="A6">
        <v>2008</v>
      </c>
      <c r="B6" s="1">
        <v>-0.07461</v>
      </c>
      <c r="C6" s="8">
        <v>57.57859865</v>
      </c>
      <c r="D6" s="7">
        <v>1.393119816</v>
      </c>
      <c r="E6" s="8">
        <v>0.232282745</v>
      </c>
      <c r="G6">
        <v>1999</v>
      </c>
      <c r="H6" s="1">
        <v>0.00474901921293579</v>
      </c>
      <c r="I6" s="2">
        <v>1.9</v>
      </c>
      <c r="J6" s="2">
        <v>48.1922749889095</v>
      </c>
      <c r="K6" s="2" t="s">
        <v>9</v>
      </c>
      <c r="M6" s="2">
        <v>3.29021372249065</v>
      </c>
      <c r="N6" s="2" t="s">
        <v>9</v>
      </c>
    </row>
    <row r="7" ht="15" spans="1:14">
      <c r="A7">
        <v>2009</v>
      </c>
      <c r="B7" s="1">
        <v>-0.09267</v>
      </c>
      <c r="C7" s="8">
        <v>45.94519181</v>
      </c>
      <c r="D7" s="7">
        <v>1.029666551</v>
      </c>
      <c r="E7" s="8">
        <v>3.306939816</v>
      </c>
      <c r="G7">
        <v>2000</v>
      </c>
      <c r="H7" s="1">
        <v>0.0329021372249065</v>
      </c>
      <c r="I7" s="2">
        <v>1.6</v>
      </c>
      <c r="J7" s="2">
        <v>53.3090443862273</v>
      </c>
      <c r="K7" s="2" t="s">
        <v>10</v>
      </c>
      <c r="M7" s="2">
        <v>2.30538859522412</v>
      </c>
      <c r="N7" s="2" t="s">
        <v>10</v>
      </c>
    </row>
    <row r="8" ht="15" spans="1:15">
      <c r="A8">
        <f>SUM(A7+1)</f>
        <v>2010</v>
      </c>
      <c r="B8" s="1">
        <v>-0.06256</v>
      </c>
      <c r="C8" s="8">
        <v>50.39428735</v>
      </c>
      <c r="D8" s="7">
        <v>1.147175224</v>
      </c>
      <c r="E8" s="8">
        <v>8.058473603</v>
      </c>
      <c r="G8">
        <v>2001</v>
      </c>
      <c r="H8" s="1">
        <v>0.0230538859522412</v>
      </c>
      <c r="I8" s="2">
        <v>1.4</v>
      </c>
      <c r="J8" s="2">
        <v>55.9468360286643</v>
      </c>
      <c r="K8" s="10" t="s">
        <v>11</v>
      </c>
      <c r="M8" s="2">
        <v>0.599695390807426</v>
      </c>
      <c r="N8" s="10" t="s">
        <v>11</v>
      </c>
      <c r="O8" s="9">
        <v>0.01</v>
      </c>
    </row>
    <row r="9" ht="15" spans="1:14">
      <c r="A9">
        <f t="shared" ref="A9:A21" si="0">SUM(A8+1)</f>
        <v>2011</v>
      </c>
      <c r="B9" s="1">
        <v>-0.07461</v>
      </c>
      <c r="C9" s="8">
        <v>58.40220597</v>
      </c>
      <c r="D9" s="7">
        <v>1.106826548</v>
      </c>
      <c r="E9" s="8">
        <v>5.12110612</v>
      </c>
      <c r="G9">
        <v>2002</v>
      </c>
      <c r="H9" s="1">
        <v>0.00599695390807426</v>
      </c>
      <c r="I9" s="2">
        <v>1.5</v>
      </c>
      <c r="J9" s="2">
        <v>55.1726722640053</v>
      </c>
      <c r="K9" s="10" t="s">
        <v>12</v>
      </c>
      <c r="M9" s="2">
        <v>3.77990649795343</v>
      </c>
      <c r="N9" s="10" t="s">
        <v>12</v>
      </c>
    </row>
    <row r="10" ht="15" spans="1:14">
      <c r="A10">
        <f t="shared" si="0"/>
        <v>2012</v>
      </c>
      <c r="B10" s="1">
        <v>-0.09267</v>
      </c>
      <c r="C10" s="8">
        <v>51.62369202</v>
      </c>
      <c r="D10" s="7">
        <v>1.084743196</v>
      </c>
      <c r="E10" s="8">
        <v>4.568679614</v>
      </c>
      <c r="G10">
        <v>2003</v>
      </c>
      <c r="H10" s="1">
        <v>2.93247554570904</v>
      </c>
      <c r="I10" s="2">
        <v>1.6</v>
      </c>
      <c r="J10" s="2">
        <v>54.132265895729</v>
      </c>
      <c r="K10" s="10" t="s">
        <v>13</v>
      </c>
      <c r="M10" s="2">
        <v>0.546859530175595</v>
      </c>
      <c r="N10" s="10" t="s">
        <v>13</v>
      </c>
    </row>
    <row r="11" ht="15" spans="1:14">
      <c r="A11">
        <f t="shared" si="0"/>
        <v>2013</v>
      </c>
      <c r="B11" s="1">
        <v>-0.06256</v>
      </c>
      <c r="C11" s="8">
        <v>47.46464251</v>
      </c>
      <c r="D11" s="7">
        <v>1.085411127</v>
      </c>
      <c r="E11">
        <v>3.797848393</v>
      </c>
      <c r="G11">
        <v>2004</v>
      </c>
      <c r="H11" s="5">
        <v>5.104299776</v>
      </c>
      <c r="I11" s="6">
        <v>1.662148207</v>
      </c>
      <c r="J11" s="5">
        <v>59.47700335</v>
      </c>
      <c r="K11" s="2">
        <v>-6.256</v>
      </c>
      <c r="M11" s="2">
        <v>2.93247554570904</v>
      </c>
      <c r="N11" s="2">
        <v>-6.256</v>
      </c>
    </row>
    <row r="12" ht="15" spans="1:14">
      <c r="A12">
        <f t="shared" si="0"/>
        <v>2014</v>
      </c>
      <c r="B12" s="1">
        <v>-0.07461</v>
      </c>
      <c r="C12" s="8">
        <v>46.17048936</v>
      </c>
      <c r="D12" s="7">
        <v>1.125191482</v>
      </c>
      <c r="E12" s="8">
        <v>5.020111002</v>
      </c>
      <c r="G12">
        <v>2005</v>
      </c>
      <c r="H12" s="5">
        <v>5.104299776</v>
      </c>
      <c r="I12" s="6">
        <v>1.440285968</v>
      </c>
      <c r="J12" s="5">
        <v>64.47886616</v>
      </c>
      <c r="K12" s="2">
        <v>-7.461</v>
      </c>
      <c r="M12" s="5">
        <v>5.104299776</v>
      </c>
      <c r="N12" s="2">
        <v>-7.461</v>
      </c>
    </row>
    <row r="13" ht="15" spans="1:14">
      <c r="A13">
        <f t="shared" si="0"/>
        <v>2015</v>
      </c>
      <c r="B13" s="1">
        <v>-0.09267</v>
      </c>
      <c r="C13" s="8">
        <v>40.32738469</v>
      </c>
      <c r="D13" s="7">
        <v>1.075600092</v>
      </c>
      <c r="E13" s="8">
        <v>4.967721128</v>
      </c>
      <c r="G13">
        <v>2006</v>
      </c>
      <c r="H13" s="5">
        <v>6.4724943</v>
      </c>
      <c r="I13" s="6">
        <v>1.428364965</v>
      </c>
      <c r="J13" s="5">
        <v>55.23648513</v>
      </c>
      <c r="K13" s="2">
        <v>-9.267</v>
      </c>
      <c r="M13" s="5">
        <v>5.104299776</v>
      </c>
      <c r="N13" s="2">
        <v>-9.267</v>
      </c>
    </row>
    <row r="14" ht="15" spans="1:14">
      <c r="A14">
        <f t="shared" si="0"/>
        <v>2016</v>
      </c>
      <c r="B14" s="1">
        <v>-0.06256</v>
      </c>
      <c r="C14" s="8">
        <v>34.86501957</v>
      </c>
      <c r="D14" s="7">
        <v>1.042760899</v>
      </c>
      <c r="E14">
        <v>4.213517068</v>
      </c>
      <c r="G14">
        <v>2007</v>
      </c>
      <c r="H14" s="5">
        <v>6.85072977</v>
      </c>
      <c r="I14" s="6">
        <v>0.960674356</v>
      </c>
      <c r="J14" s="5">
        <v>53.8947888</v>
      </c>
      <c r="K14" s="2">
        <v>-10.06</v>
      </c>
      <c r="M14" s="5">
        <v>6.4724943</v>
      </c>
      <c r="N14" s="2">
        <v>-10.06</v>
      </c>
    </row>
    <row r="15" ht="15" spans="1:14">
      <c r="A15">
        <f t="shared" si="0"/>
        <v>2017</v>
      </c>
      <c r="B15" s="1">
        <v>-0.07461</v>
      </c>
      <c r="C15" s="8">
        <v>35.99505788</v>
      </c>
      <c r="D15" s="7">
        <v>1.065586352</v>
      </c>
      <c r="E15">
        <v>3.837958174</v>
      </c>
      <c r="G15">
        <v>2008</v>
      </c>
      <c r="H15" s="5">
        <v>0.232282745</v>
      </c>
      <c r="I15" s="6">
        <v>1.393119816</v>
      </c>
      <c r="J15" s="5">
        <v>57.57859865</v>
      </c>
      <c r="K15" s="2">
        <v>-12.23</v>
      </c>
      <c r="M15" s="5">
        <v>6.85072977</v>
      </c>
      <c r="N15" s="2">
        <v>-12.23</v>
      </c>
    </row>
    <row r="16" ht="15" spans="1:14">
      <c r="A16">
        <f t="shared" si="0"/>
        <v>2018</v>
      </c>
      <c r="B16" s="1">
        <v>-0.09267</v>
      </c>
      <c r="C16" s="8">
        <v>34.41475318</v>
      </c>
      <c r="D16" s="7">
        <v>1.005549925</v>
      </c>
      <c r="E16" s="8">
        <v>5.647946407</v>
      </c>
      <c r="G16">
        <v>2009</v>
      </c>
      <c r="H16" s="5">
        <v>3.306939816</v>
      </c>
      <c r="I16" s="6">
        <v>1.029666551</v>
      </c>
      <c r="J16" s="5">
        <v>45.94519181</v>
      </c>
      <c r="K16" s="2">
        <v>-8.395</v>
      </c>
      <c r="M16" s="5">
        <v>0.232282745</v>
      </c>
      <c r="N16" s="2">
        <v>-8.395</v>
      </c>
    </row>
    <row r="17" ht="15" spans="1:14">
      <c r="A17">
        <f t="shared" si="0"/>
        <v>2019</v>
      </c>
      <c r="B17" s="1">
        <v>-0.06256</v>
      </c>
      <c r="C17" s="8">
        <v>31.75946184</v>
      </c>
      <c r="D17" s="7">
        <v>1.052009201</v>
      </c>
      <c r="E17" s="8">
        <v>5.114158858</v>
      </c>
      <c r="G17">
        <f>SUM(G16+1)</f>
        <v>2010</v>
      </c>
      <c r="H17" s="5">
        <v>8.058473603</v>
      </c>
      <c r="I17" s="6">
        <v>1.147175224</v>
      </c>
      <c r="J17" s="5">
        <v>50.39428735</v>
      </c>
      <c r="K17" s="2">
        <v>-10.15</v>
      </c>
      <c r="M17" s="5">
        <v>3.306939816</v>
      </c>
      <c r="N17" s="2">
        <v>-10.15</v>
      </c>
    </row>
    <row r="18" ht="15" spans="1:14">
      <c r="A18">
        <f t="shared" si="0"/>
        <v>2020</v>
      </c>
      <c r="B18" s="1">
        <v>-0.07461</v>
      </c>
      <c r="C18" s="8">
        <v>27.23781553</v>
      </c>
      <c r="D18" s="7">
        <v>0.914807276</v>
      </c>
      <c r="E18" s="8">
        <v>-0.272766327</v>
      </c>
      <c r="G18">
        <f t="shared" ref="G18:G30" si="1">SUM(G17+1)</f>
        <v>2011</v>
      </c>
      <c r="H18" s="5">
        <v>5.12110612</v>
      </c>
      <c r="I18" s="6">
        <v>1.106826548</v>
      </c>
      <c r="J18" s="5">
        <v>58.40220597</v>
      </c>
      <c r="K18" s="2">
        <v>-15.3</v>
      </c>
      <c r="M18" s="5">
        <v>8.058473603</v>
      </c>
      <c r="N18" s="2">
        <v>-15.3</v>
      </c>
    </row>
    <row r="19" ht="15" spans="1:14">
      <c r="A19">
        <f t="shared" si="0"/>
        <v>2021</v>
      </c>
      <c r="B19" s="1">
        <v>-0.09267</v>
      </c>
      <c r="C19" s="8">
        <v>30.82430318</v>
      </c>
      <c r="D19" s="7">
        <v>0.901049348</v>
      </c>
      <c r="E19" s="8">
        <v>7.590489473</v>
      </c>
      <c r="G19">
        <f t="shared" si="1"/>
        <v>2012</v>
      </c>
      <c r="H19" s="5">
        <v>4.568679614</v>
      </c>
      <c r="I19" s="6">
        <v>1.084743196</v>
      </c>
      <c r="J19" s="5">
        <v>51.62369202</v>
      </c>
      <c r="K19" s="2">
        <v>-11.89</v>
      </c>
      <c r="M19" s="5">
        <v>5.12110612</v>
      </c>
      <c r="N19" s="2">
        <v>-11.89</v>
      </c>
    </row>
    <row r="20" ht="15" spans="1:14">
      <c r="A20">
        <f t="shared" si="0"/>
        <v>2022</v>
      </c>
      <c r="B20" s="1">
        <v>-0.06256</v>
      </c>
      <c r="C20" s="8">
        <v>33.69113873</v>
      </c>
      <c r="D20" s="7">
        <v>0.876822157</v>
      </c>
      <c r="E20">
        <v>4.859981043</v>
      </c>
      <c r="G20">
        <f t="shared" si="1"/>
        <v>2013</v>
      </c>
      <c r="H20" s="2">
        <v>3.797848393</v>
      </c>
      <c r="I20" s="6">
        <v>1.085411127</v>
      </c>
      <c r="J20" s="5">
        <v>47.46464251</v>
      </c>
      <c r="K20" s="2">
        <v>-11.88</v>
      </c>
      <c r="M20" s="5">
        <v>4.568679614</v>
      </c>
      <c r="N20" s="2">
        <v>-11.88</v>
      </c>
    </row>
    <row r="21" ht="15" spans="1:14">
      <c r="A21">
        <f t="shared" si="0"/>
        <v>2023</v>
      </c>
      <c r="B21" s="1">
        <v>-0.07461</v>
      </c>
      <c r="C21" s="8">
        <v>32.09207928</v>
      </c>
      <c r="D21" s="7">
        <v>0.865544355</v>
      </c>
      <c r="E21" s="8">
        <v>5.555873013</v>
      </c>
      <c r="G21">
        <f t="shared" si="1"/>
        <v>2014</v>
      </c>
      <c r="H21" s="5">
        <v>5.020111002</v>
      </c>
      <c r="I21" s="6">
        <v>1.125191482</v>
      </c>
      <c r="J21" s="5">
        <v>46.17048936</v>
      </c>
      <c r="K21" s="2">
        <v>-13.22</v>
      </c>
      <c r="M21" s="2">
        <v>3.797848393</v>
      </c>
      <c r="N21" s="2">
        <v>-13.22</v>
      </c>
    </row>
    <row r="22" ht="15" spans="1:14">
      <c r="A22">
        <v>2024</v>
      </c>
      <c r="B22" s="1">
        <v>-0.09267</v>
      </c>
      <c r="C22" s="8">
        <v>30.29329813</v>
      </c>
      <c r="D22" s="7">
        <v>1.067952945</v>
      </c>
      <c r="E22" s="8">
        <v>4.496498285</v>
      </c>
      <c r="G22">
        <f t="shared" si="1"/>
        <v>2015</v>
      </c>
      <c r="H22" s="5">
        <v>4.967721128</v>
      </c>
      <c r="I22" s="6">
        <v>1.075600092</v>
      </c>
      <c r="J22" s="5">
        <v>40.32738469</v>
      </c>
      <c r="K22" s="2">
        <v>-10.07</v>
      </c>
      <c r="M22" s="5">
        <v>5.020111002</v>
      </c>
      <c r="N22" s="2">
        <v>-10.07</v>
      </c>
    </row>
    <row r="23" ht="15" spans="7:14">
      <c r="G23">
        <f t="shared" si="1"/>
        <v>2016</v>
      </c>
      <c r="H23" s="2">
        <v>4.213517068</v>
      </c>
      <c r="I23" s="6">
        <v>1.042760899</v>
      </c>
      <c r="J23" s="5">
        <v>34.86501957</v>
      </c>
      <c r="K23" s="2">
        <v>-8.37</v>
      </c>
      <c r="M23" s="5">
        <v>4.967721128</v>
      </c>
      <c r="N23" s="2">
        <v>-8.37</v>
      </c>
    </row>
    <row r="24" ht="15" spans="7:14">
      <c r="G24">
        <f t="shared" si="1"/>
        <v>2017</v>
      </c>
      <c r="H24" s="2">
        <v>3.837958174</v>
      </c>
      <c r="I24" s="6">
        <v>1.065586352</v>
      </c>
      <c r="J24" s="5">
        <v>35.99505788</v>
      </c>
      <c r="K24" s="2">
        <v>-10.51</v>
      </c>
      <c r="M24" s="2">
        <v>4.213517068</v>
      </c>
      <c r="N24" s="2">
        <v>-10.51</v>
      </c>
    </row>
    <row r="25" ht="15" spans="7:14">
      <c r="G25">
        <f t="shared" si="1"/>
        <v>2018</v>
      </c>
      <c r="H25" s="5">
        <v>5.647946407</v>
      </c>
      <c r="I25" s="6">
        <v>1.005549925</v>
      </c>
      <c r="J25" s="5">
        <v>34.41475318</v>
      </c>
      <c r="K25" s="2">
        <v>-9.33</v>
      </c>
      <c r="M25" s="2">
        <v>3.837958174</v>
      </c>
      <c r="N25" s="2">
        <v>-9.33</v>
      </c>
    </row>
    <row r="26" ht="15" spans="7:14">
      <c r="G26">
        <f t="shared" si="1"/>
        <v>2019</v>
      </c>
      <c r="H26" s="5">
        <v>5.114158858</v>
      </c>
      <c r="I26" s="6">
        <v>1.052009201</v>
      </c>
      <c r="J26" s="5">
        <v>31.75946184</v>
      </c>
      <c r="K26" s="2">
        <v>-8.9</v>
      </c>
      <c r="M26" s="5">
        <v>5.647946407</v>
      </c>
      <c r="N26" s="2">
        <v>-8.9</v>
      </c>
    </row>
    <row r="27" ht="15" spans="7:14">
      <c r="G27">
        <f t="shared" si="1"/>
        <v>2020</v>
      </c>
      <c r="H27" s="5">
        <v>-0.272766327</v>
      </c>
      <c r="I27" s="6">
        <v>0.914807276</v>
      </c>
      <c r="J27" s="5">
        <v>27.23781553</v>
      </c>
      <c r="K27" s="2">
        <v>-7.958</v>
      </c>
      <c r="M27" s="5">
        <v>5.114158858</v>
      </c>
      <c r="N27" s="2">
        <v>-7.958</v>
      </c>
    </row>
    <row r="28" ht="15" spans="7:14">
      <c r="G28">
        <f t="shared" si="1"/>
        <v>2021</v>
      </c>
      <c r="H28" s="5">
        <v>7.590489473</v>
      </c>
      <c r="I28" s="6">
        <v>0.901049348</v>
      </c>
      <c r="J28" s="5">
        <v>30.82430318</v>
      </c>
      <c r="K28" s="2">
        <v>-9.28</v>
      </c>
      <c r="M28" s="5">
        <v>-0.272766327</v>
      </c>
      <c r="N28" s="2">
        <v>-9.28</v>
      </c>
    </row>
    <row r="29" ht="15" spans="7:14">
      <c r="G29">
        <f t="shared" si="1"/>
        <v>2022</v>
      </c>
      <c r="H29" s="2">
        <v>4.859981043</v>
      </c>
      <c r="I29" s="6">
        <v>0.876822157</v>
      </c>
      <c r="J29" s="5">
        <v>33.69113873</v>
      </c>
      <c r="K29" s="2">
        <v>-9.31</v>
      </c>
      <c r="M29" s="5">
        <v>7.590489473</v>
      </c>
      <c r="N29" s="2">
        <v>-9.31</v>
      </c>
    </row>
    <row r="30" ht="15" spans="7:14">
      <c r="G30">
        <f t="shared" si="1"/>
        <v>2023</v>
      </c>
      <c r="H30" s="5">
        <v>5.555873013</v>
      </c>
      <c r="I30" s="6">
        <v>0.865544355</v>
      </c>
      <c r="J30" s="5">
        <v>32.09207928</v>
      </c>
      <c r="K30" s="2">
        <v>-8.72</v>
      </c>
      <c r="M30" s="2">
        <v>4.859981043</v>
      </c>
      <c r="N30" s="2">
        <v>-8.72</v>
      </c>
    </row>
    <row r="31" ht="15" spans="7:14">
      <c r="G31">
        <v>2024</v>
      </c>
      <c r="H31" s="5">
        <v>4.496498285</v>
      </c>
      <c r="I31" s="6">
        <v>1.067952945</v>
      </c>
      <c r="J31" s="5">
        <v>30.29329813</v>
      </c>
      <c r="K31" s="2">
        <v>-8.02</v>
      </c>
      <c r="M31" s="5">
        <v>5.555873013</v>
      </c>
      <c r="N31" s="2">
        <v>-8.02</v>
      </c>
    </row>
    <row r="32" ht="15" spans="13:13">
      <c r="M32" s="5">
        <v>4.496498285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tabSelected="1" workbookViewId="0">
      <selection activeCell="B2" sqref="B2"/>
    </sheetView>
  </sheetViews>
  <sheetFormatPr defaultColWidth="9" defaultRowHeight="14.25" outlineLevelCol="4"/>
  <cols>
    <col min="2" max="2" width="22.375" customWidth="1"/>
    <col min="3" max="3" width="19.125" customWidth="1"/>
    <col min="4" max="4" width="26.625" customWidth="1"/>
    <col min="5" max="5" width="29.375" customWidth="1"/>
  </cols>
  <sheetData>
    <row r="1" spans="1:5">
      <c r="A1" t="s">
        <v>0</v>
      </c>
      <c r="B1" t="s">
        <v>5</v>
      </c>
      <c r="C1" t="s">
        <v>3</v>
      </c>
      <c r="D1" t="s">
        <v>2</v>
      </c>
      <c r="E1" t="s">
        <v>6</v>
      </c>
    </row>
    <row r="2" spans="1:5">
      <c r="A2">
        <v>1995</v>
      </c>
      <c r="B2" s="1">
        <v>0.0440621652482287</v>
      </c>
      <c r="C2" s="2">
        <v>3.7</v>
      </c>
      <c r="D2" s="2">
        <v>71.7457416403034</v>
      </c>
      <c r="E2" s="2">
        <v>-6.56</v>
      </c>
    </row>
    <row r="3" spans="1:5">
      <c r="A3">
        <v>1996</v>
      </c>
      <c r="B3" s="1">
        <v>0.0414683926876013</v>
      </c>
      <c r="C3" s="2">
        <v>3.4</v>
      </c>
      <c r="D3" s="2">
        <v>57.3121107038101</v>
      </c>
      <c r="E3" s="2">
        <v>-6.91</v>
      </c>
    </row>
    <row r="4" spans="1:5">
      <c r="A4">
        <v>1997</v>
      </c>
      <c r="B4" s="1">
        <v>0.0440621652482287</v>
      </c>
      <c r="C4" s="2">
        <v>2.4</v>
      </c>
      <c r="D4" s="2">
        <v>54.0571168602892</v>
      </c>
      <c r="E4" s="2">
        <v>-8.68</v>
      </c>
    </row>
    <row r="5" spans="1:5">
      <c r="A5">
        <v>1998</v>
      </c>
      <c r="B5" s="1">
        <v>0.0414683926876013</v>
      </c>
      <c r="C5" s="2">
        <v>1.8</v>
      </c>
      <c r="D5" s="2">
        <v>48.8972419400753</v>
      </c>
      <c r="E5" s="3" t="s">
        <v>8</v>
      </c>
    </row>
    <row r="6" spans="1:5">
      <c r="A6">
        <v>1999</v>
      </c>
      <c r="B6" s="1">
        <v>0.00474901921293579</v>
      </c>
      <c r="C6" s="2">
        <v>1.9</v>
      </c>
      <c r="D6" s="2">
        <v>48.1922749889095</v>
      </c>
      <c r="E6" s="3" t="s">
        <v>9</v>
      </c>
    </row>
    <row r="7" spans="1:5">
      <c r="A7">
        <v>2000</v>
      </c>
      <c r="B7" s="1">
        <v>0.0329021372249065</v>
      </c>
      <c r="C7" s="2">
        <v>1.6</v>
      </c>
      <c r="D7" s="2">
        <v>53.3090443862273</v>
      </c>
      <c r="E7" s="3" t="s">
        <v>10</v>
      </c>
    </row>
    <row r="8" ht="15" spans="1:5">
      <c r="A8">
        <v>2001</v>
      </c>
      <c r="B8" s="1">
        <v>0.0230538859522412</v>
      </c>
      <c r="C8" s="2">
        <v>1.4</v>
      </c>
      <c r="D8" s="2">
        <v>55.9468360286643</v>
      </c>
      <c r="E8" s="4" t="s">
        <v>11</v>
      </c>
    </row>
    <row r="9" ht="15" spans="1:5">
      <c r="A9">
        <v>2002</v>
      </c>
      <c r="B9" s="1">
        <v>0.00599695390807426</v>
      </c>
      <c r="C9" s="2">
        <v>1.5</v>
      </c>
      <c r="D9" s="2">
        <v>55.1726722640053</v>
      </c>
      <c r="E9" s="4" t="s">
        <v>12</v>
      </c>
    </row>
    <row r="10" ht="15" spans="1:5">
      <c r="A10">
        <v>2003</v>
      </c>
      <c r="B10" s="1">
        <v>2.93247554570904</v>
      </c>
      <c r="C10" s="2">
        <v>1.6</v>
      </c>
      <c r="D10" s="2">
        <v>54.132265895729</v>
      </c>
      <c r="E10" s="4" t="s">
        <v>13</v>
      </c>
    </row>
    <row r="11" ht="15" spans="1:5">
      <c r="A11">
        <v>2004</v>
      </c>
      <c r="B11" s="5">
        <v>5.104299776</v>
      </c>
      <c r="C11" s="6">
        <v>1.662148207</v>
      </c>
      <c r="D11" s="5">
        <v>59.47700335</v>
      </c>
      <c r="E11" s="2">
        <v>-6.256</v>
      </c>
    </row>
    <row r="12" ht="15" spans="1:5">
      <c r="A12">
        <v>2005</v>
      </c>
      <c r="B12" s="5">
        <v>5.104299776</v>
      </c>
      <c r="C12" s="6">
        <v>1.440285968</v>
      </c>
      <c r="D12" s="5">
        <v>64.47886616</v>
      </c>
      <c r="E12" s="2">
        <v>-7.461</v>
      </c>
    </row>
    <row r="13" ht="15" spans="1:5">
      <c r="A13">
        <v>2006</v>
      </c>
      <c r="B13" s="5">
        <v>6.4724943</v>
      </c>
      <c r="C13" s="6">
        <v>1.428364965</v>
      </c>
      <c r="D13" s="5">
        <v>55.23648513</v>
      </c>
      <c r="E13" s="2">
        <v>-9.267</v>
      </c>
    </row>
    <row r="14" ht="15" spans="1:5">
      <c r="A14">
        <v>2007</v>
      </c>
      <c r="B14" s="5">
        <v>6.85072977</v>
      </c>
      <c r="C14" s="6">
        <v>0.960674356</v>
      </c>
      <c r="D14" s="5">
        <v>53.8947888</v>
      </c>
      <c r="E14" s="2">
        <v>-10.06</v>
      </c>
    </row>
    <row r="15" ht="15" spans="1:5">
      <c r="A15">
        <v>2008</v>
      </c>
      <c r="B15" s="5">
        <v>0.232282745</v>
      </c>
      <c r="C15" s="6">
        <v>1.393119816</v>
      </c>
      <c r="D15" s="5">
        <v>57.57859865</v>
      </c>
      <c r="E15" s="2">
        <v>-12.23</v>
      </c>
    </row>
    <row r="16" ht="15" spans="1:5">
      <c r="A16">
        <v>2009</v>
      </c>
      <c r="B16" s="5">
        <v>3.306939816</v>
      </c>
      <c r="C16" s="6">
        <v>1.029666551</v>
      </c>
      <c r="D16" s="5">
        <v>45.94519181</v>
      </c>
      <c r="E16" s="2">
        <v>-8.395</v>
      </c>
    </row>
    <row r="17" ht="15" spans="1:5">
      <c r="A17">
        <f>SUM(A16+1)</f>
        <v>2010</v>
      </c>
      <c r="B17" s="5">
        <v>8.058473603</v>
      </c>
      <c r="C17" s="6">
        <v>1.147175224</v>
      </c>
      <c r="D17" s="5">
        <v>50.39428735</v>
      </c>
      <c r="E17" s="2">
        <v>-10.15</v>
      </c>
    </row>
    <row r="18" ht="15" spans="1:5">
      <c r="A18">
        <f t="shared" ref="A18:A30" si="0">SUM(A17+1)</f>
        <v>2011</v>
      </c>
      <c r="B18" s="5">
        <v>5.12110612</v>
      </c>
      <c r="C18" s="6">
        <v>1.106826548</v>
      </c>
      <c r="D18" s="5">
        <v>58.40220597</v>
      </c>
      <c r="E18" s="2">
        <v>-15.3</v>
      </c>
    </row>
    <row r="19" ht="15" spans="1:5">
      <c r="A19">
        <f t="shared" si="0"/>
        <v>2012</v>
      </c>
      <c r="B19" s="5">
        <v>4.568679614</v>
      </c>
      <c r="C19" s="6">
        <v>1.084743196</v>
      </c>
      <c r="D19" s="5">
        <v>51.62369202</v>
      </c>
      <c r="E19" s="2">
        <v>-11.89</v>
      </c>
    </row>
    <row r="20" ht="15" spans="1:5">
      <c r="A20">
        <f t="shared" si="0"/>
        <v>2013</v>
      </c>
      <c r="B20" s="2">
        <v>3.797848393</v>
      </c>
      <c r="C20" s="6">
        <v>1.085411127</v>
      </c>
      <c r="D20" s="5">
        <v>47.46464251</v>
      </c>
      <c r="E20" s="2">
        <v>-11.88</v>
      </c>
    </row>
    <row r="21" ht="15" spans="1:5">
      <c r="A21">
        <f t="shared" si="0"/>
        <v>2014</v>
      </c>
      <c r="B21" s="5">
        <v>5.020111002</v>
      </c>
      <c r="C21" s="6">
        <v>1.125191482</v>
      </c>
      <c r="D21" s="5">
        <v>46.17048936</v>
      </c>
      <c r="E21" s="2">
        <v>-13.22</v>
      </c>
    </row>
    <row r="22" ht="15" spans="1:5">
      <c r="A22">
        <f t="shared" si="0"/>
        <v>2015</v>
      </c>
      <c r="B22" s="5">
        <v>4.967721128</v>
      </c>
      <c r="C22" s="6">
        <v>1.075600092</v>
      </c>
      <c r="D22" s="5">
        <v>40.32738469</v>
      </c>
      <c r="E22" s="2">
        <v>-10.07</v>
      </c>
    </row>
    <row r="23" ht="15" spans="1:5">
      <c r="A23">
        <f t="shared" si="0"/>
        <v>2016</v>
      </c>
      <c r="B23" s="2">
        <v>4.213517068</v>
      </c>
      <c r="C23" s="6">
        <v>1.042760899</v>
      </c>
      <c r="D23" s="5">
        <v>34.86501957</v>
      </c>
      <c r="E23" s="2">
        <v>-8.37</v>
      </c>
    </row>
    <row r="24" ht="15" spans="1:5">
      <c r="A24">
        <f t="shared" si="0"/>
        <v>2017</v>
      </c>
      <c r="B24" s="2">
        <v>3.837958174</v>
      </c>
      <c r="C24" s="6">
        <v>1.065586352</v>
      </c>
      <c r="D24" s="5">
        <v>35.99505788</v>
      </c>
      <c r="E24" s="2">
        <v>-10.51</v>
      </c>
    </row>
    <row r="25" ht="15" spans="1:5">
      <c r="A25">
        <f t="shared" si="0"/>
        <v>2018</v>
      </c>
      <c r="B25" s="5">
        <v>5.647946407</v>
      </c>
      <c r="C25" s="6">
        <v>1.005549925</v>
      </c>
      <c r="D25" s="5">
        <v>34.41475318</v>
      </c>
      <c r="E25" s="2">
        <v>-9.33</v>
      </c>
    </row>
    <row r="26" ht="15" spans="1:5">
      <c r="A26">
        <f t="shared" si="0"/>
        <v>2019</v>
      </c>
      <c r="B26" s="5">
        <v>5.114158858</v>
      </c>
      <c r="C26" s="6">
        <v>1.052009201</v>
      </c>
      <c r="D26" s="5">
        <v>31.75946184</v>
      </c>
      <c r="E26" s="2">
        <v>-8.9</v>
      </c>
    </row>
    <row r="27" ht="15" spans="1:5">
      <c r="A27">
        <f t="shared" si="0"/>
        <v>2020</v>
      </c>
      <c r="B27" s="5">
        <v>-0.272766327</v>
      </c>
      <c r="C27" s="6">
        <v>0.914807276</v>
      </c>
      <c r="D27" s="5">
        <v>27.23781553</v>
      </c>
      <c r="E27" s="2">
        <v>-7.958</v>
      </c>
    </row>
    <row r="28" ht="15" spans="1:5">
      <c r="A28">
        <f t="shared" si="0"/>
        <v>2021</v>
      </c>
      <c r="B28" s="5">
        <v>7.590489473</v>
      </c>
      <c r="C28" s="6">
        <v>0.901049348</v>
      </c>
      <c r="D28" s="5">
        <v>30.82430318</v>
      </c>
      <c r="E28" s="2">
        <v>-9.28</v>
      </c>
    </row>
    <row r="29" ht="15" spans="1:5">
      <c r="A29">
        <f t="shared" si="0"/>
        <v>2022</v>
      </c>
      <c r="B29" s="2">
        <v>4.859981043</v>
      </c>
      <c r="C29" s="6">
        <v>0.876822157</v>
      </c>
      <c r="D29" s="5">
        <v>33.69113873</v>
      </c>
      <c r="E29" s="2">
        <v>-9.31</v>
      </c>
    </row>
    <row r="30" ht="15" spans="1:5">
      <c r="A30">
        <f t="shared" si="0"/>
        <v>2023</v>
      </c>
      <c r="B30" s="5">
        <v>5.555873013</v>
      </c>
      <c r="C30" s="6">
        <v>0.865544355</v>
      </c>
      <c r="D30" s="5">
        <v>32.09207928</v>
      </c>
      <c r="E30" s="2">
        <v>-8.72</v>
      </c>
    </row>
    <row r="31" ht="15" spans="1:5">
      <c r="A31">
        <v>2024</v>
      </c>
      <c r="B31" s="5">
        <v>4.496498285</v>
      </c>
      <c r="C31" s="6">
        <v>1.067952945</v>
      </c>
      <c r="D31" s="5">
        <v>30.29329813</v>
      </c>
      <c r="E31" s="2">
        <v>-8.02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tuikong</dc:creator>
  <cp:lastModifiedBy>Mary Diana</cp:lastModifiedBy>
  <dcterms:created xsi:type="dcterms:W3CDTF">2025-10-06T16:24:00Z</dcterms:created>
  <dcterms:modified xsi:type="dcterms:W3CDTF">2025-10-07T10:37:49Z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7530E691F8FB44FFBC5D46283EB41F45_12</vt:lpwstr>
  </property>
  <property fmtid="{D5CDD505-2E9C-101B-9397-08002B2CF9AE}" pid="3" name="KSOProductBuildVer">
    <vt:lpwstr>1033-12.2.0.22549</vt:lpwstr>
  </property>
</Properties>
</file>